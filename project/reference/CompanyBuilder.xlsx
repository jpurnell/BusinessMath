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urnell/Desktop/"/>
    </mc:Choice>
  </mc:AlternateContent>
  <xr:revisionPtr revIDLastSave="0" documentId="13_ncr:11_{17843E81-4F3A-C244-A4EF-DB122488E387}" xr6:coauthVersionLast="47" xr6:coauthVersionMax="47" xr10:uidLastSave="{00000000-0000-0000-0000-000000000000}"/>
  <bookViews>
    <workbookView xWindow="29160" yWindow="5860" windowWidth="28160" windowHeight="17440" activeTab="1" xr2:uid="{A3790C2B-04E6-424B-B1A1-25EB40041A1C}"/>
  </bookViews>
  <sheets>
    <sheet name="Definitions" sheetId="9" r:id="rId1"/>
    <sheet name="Sheet1" sheetId="1" r:id="rId2"/>
    <sheet name="Sheet 2" sheetId="2" r:id="rId3"/>
    <sheet name="Sheet 3" sheetId="3" r:id="rId4"/>
    <sheet name="Sheet 4" sheetId="4" r:id="rId5"/>
    <sheet name="Sheet 5" sheetId="5" r:id="rId6"/>
    <sheet name="Sheet 6" sheetId="6" r:id="rId7"/>
    <sheet name="Sheet 7" sheetId="7" r:id="rId8"/>
    <sheet name="Sheet 8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L51" i="1"/>
  <c r="O51" i="1"/>
  <c r="J51" i="1"/>
  <c r="M51" i="1"/>
  <c r="M50" i="1"/>
  <c r="L50" i="1"/>
  <c r="J50" i="1"/>
  <c r="I50" i="1"/>
  <c r="O50" i="1" s="1"/>
  <c r="O49" i="1"/>
  <c r="O48" i="1"/>
  <c r="O47" i="1"/>
  <c r="M49" i="1"/>
  <c r="M48" i="1"/>
  <c r="M47" i="1"/>
  <c r="I48" i="1"/>
  <c r="J48" i="1"/>
  <c r="I49" i="1"/>
  <c r="J49" i="1"/>
  <c r="L49" i="1"/>
  <c r="L48" i="1"/>
  <c r="J47" i="1"/>
  <c r="L47" i="1"/>
  <c r="I47" i="1"/>
  <c r="M46" i="1"/>
  <c r="L46" i="1"/>
  <c r="K46" i="1"/>
  <c r="J46" i="1"/>
  <c r="O46" i="1" s="1"/>
  <c r="M45" i="1"/>
  <c r="L45" i="1"/>
  <c r="K45" i="1"/>
  <c r="J45" i="1"/>
  <c r="O45" i="1" s="1"/>
  <c r="M44" i="1"/>
  <c r="L44" i="1"/>
  <c r="K44" i="1"/>
  <c r="J44" i="1"/>
  <c r="O44" i="1" s="1"/>
  <c r="M43" i="1"/>
  <c r="L43" i="1"/>
  <c r="K43" i="1"/>
  <c r="J43" i="1"/>
  <c r="O43" i="1" s="1"/>
  <c r="M42" i="1"/>
  <c r="L42" i="1"/>
  <c r="K42" i="1"/>
  <c r="J42" i="1"/>
  <c r="O42" i="1" s="1"/>
  <c r="M41" i="1"/>
  <c r="L41" i="1"/>
  <c r="K41" i="1"/>
  <c r="J41" i="1"/>
  <c r="O41" i="1" s="1"/>
  <c r="M40" i="1"/>
  <c r="L40" i="1"/>
  <c r="K40" i="1"/>
  <c r="J40" i="1"/>
  <c r="O40" i="1" s="1"/>
  <c r="M39" i="1"/>
  <c r="L39" i="1"/>
  <c r="K39" i="1"/>
  <c r="J39" i="1"/>
  <c r="O39" i="1" s="1"/>
  <c r="M38" i="1"/>
  <c r="L38" i="1"/>
  <c r="K38" i="1"/>
  <c r="J38" i="1"/>
  <c r="O38" i="1" s="1"/>
  <c r="M37" i="1"/>
  <c r="L37" i="1"/>
  <c r="K37" i="1"/>
  <c r="J37" i="1"/>
  <c r="O37" i="1" s="1"/>
  <c r="M36" i="1"/>
  <c r="L36" i="1"/>
  <c r="K36" i="1"/>
  <c r="J36" i="1"/>
  <c r="O36" i="1" s="1"/>
  <c r="M35" i="1"/>
  <c r="L35" i="1"/>
  <c r="K35" i="1"/>
  <c r="J35" i="1"/>
  <c r="O35" i="1" s="1"/>
  <c r="M34" i="1"/>
  <c r="L34" i="1"/>
  <c r="K34" i="1"/>
  <c r="J34" i="1"/>
  <c r="O34" i="1" s="1"/>
  <c r="M33" i="1"/>
  <c r="L33" i="1"/>
  <c r="K33" i="1"/>
  <c r="J33" i="1"/>
  <c r="O33" i="1" s="1"/>
  <c r="M32" i="1"/>
  <c r="L32" i="1"/>
  <c r="K32" i="1"/>
  <c r="J32" i="1"/>
  <c r="O32" i="1" s="1"/>
  <c r="M31" i="1"/>
  <c r="L31" i="1"/>
  <c r="K31" i="1"/>
  <c r="J31" i="1"/>
  <c r="O31" i="1" s="1"/>
  <c r="M30" i="1"/>
  <c r="L30" i="1"/>
  <c r="K30" i="1"/>
  <c r="J30" i="1"/>
  <c r="O30" i="1" s="1"/>
  <c r="M29" i="1"/>
  <c r="L29" i="1"/>
  <c r="K29" i="1"/>
  <c r="J29" i="1"/>
  <c r="O29" i="1" s="1"/>
  <c r="M28" i="1"/>
  <c r="L28" i="1"/>
  <c r="K28" i="1"/>
  <c r="J28" i="1"/>
  <c r="O28" i="1" s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O27" i="1"/>
  <c r="O26" i="1"/>
  <c r="O25" i="1"/>
  <c r="O24" i="1"/>
  <c r="O23" i="1"/>
  <c r="M27" i="1"/>
  <c r="L27" i="1"/>
  <c r="K27" i="1"/>
  <c r="J27" i="1"/>
  <c r="I27" i="1"/>
  <c r="M26" i="1"/>
  <c r="L26" i="1"/>
  <c r="K26" i="1"/>
  <c r="J26" i="1"/>
  <c r="I26" i="1"/>
  <c r="M25" i="1"/>
  <c r="L25" i="1"/>
  <c r="K25" i="1"/>
  <c r="J25" i="1"/>
  <c r="I25" i="1"/>
  <c r="M24" i="1"/>
  <c r="L24" i="1"/>
  <c r="K24" i="1"/>
  <c r="J24" i="1"/>
  <c r="I24" i="1"/>
  <c r="L23" i="1"/>
  <c r="K23" i="1"/>
  <c r="M23" i="1"/>
  <c r="J23" i="1"/>
  <c r="I23" i="1"/>
</calcChain>
</file>

<file path=xl/sharedStrings.xml><?xml version="1.0" encoding="utf-8"?>
<sst xmlns="http://schemas.openxmlformats.org/spreadsheetml/2006/main" count="124" uniqueCount="93">
  <si>
    <t>Company JSON builder</t>
  </si>
  <si>
    <t>Parameters</t>
  </si>
  <si>
    <t>Period</t>
  </si>
  <si>
    <t>Frequency</t>
  </si>
  <si>
    <t>Range Start</t>
  </si>
  <si>
    <t>Range End</t>
  </si>
  <si>
    <t>Company</t>
  </si>
  <si>
    <t>Name</t>
  </si>
  <si>
    <t>Ticker</t>
  </si>
  <si>
    <t>Industry</t>
  </si>
  <si>
    <t>Sector</t>
  </si>
  <si>
    <t>Data Sources</t>
  </si>
  <si>
    <t>id</t>
  </si>
  <si>
    <t>type</t>
  </si>
  <si>
    <t>Config Path</t>
  </si>
  <si>
    <t>Config Date Column</t>
  </si>
  <si>
    <t>Account Mappings</t>
  </si>
  <si>
    <t>JSON Title</t>
  </si>
  <si>
    <t>revenue</t>
  </si>
  <si>
    <t>historical</t>
  </si>
  <si>
    <t>Sources</t>
  </si>
  <si>
    <t>Historical</t>
  </si>
  <si>
    <t>Calculated</t>
  </si>
  <si>
    <t>Decisions</t>
  </si>
  <si>
    <t>calculated</t>
  </si>
  <si>
    <t>Revenues</t>
  </si>
  <si>
    <t>opex</t>
  </si>
  <si>
    <t>Direct operating</t>
  </si>
  <si>
    <t>Direct Operating</t>
  </si>
  <si>
    <t>bareboarCharterExpense</t>
  </si>
  <si>
    <t>Bareboat charter expense</t>
  </si>
  <si>
    <t>Bareboat Charter Expense</t>
  </si>
  <si>
    <t>generalAndAdministrativeExpense</t>
  </si>
  <si>
    <t>source</t>
  </si>
  <si>
    <t>field</t>
  </si>
  <si>
    <t>formula</t>
  </si>
  <si>
    <t>displayName</t>
  </si>
  <si>
    <t>cogs</t>
  </si>
  <si>
    <t>opex + bareboatCharterExpense</t>
  </si>
  <si>
    <t>Operating Expenses</t>
  </si>
  <si>
    <t>otherExpenses</t>
  </si>
  <si>
    <t>Other Expenses</t>
  </si>
  <si>
    <t>Asset sale gains (losses)</t>
  </si>
  <si>
    <t>Equity in earnings (losses) of EVI</t>
  </si>
  <si>
    <t>Minority interest</t>
  </si>
  <si>
    <t>Deferred income taxes</t>
  </si>
  <si>
    <t>Working capital investment</t>
  </si>
  <si>
    <t>Other Operating - net</t>
  </si>
  <si>
    <t>(Increase) decrease in accounts receivable</t>
  </si>
  <si>
    <t>(Increase) decrease in other prepaids and other</t>
  </si>
  <si>
    <t>Decrease  in accounts payable</t>
  </si>
  <si>
    <t>Other accrued liabilities</t>
  </si>
  <si>
    <t>Capital expenditures</t>
  </si>
  <si>
    <t>Proceeds from asset sales</t>
  </si>
  <si>
    <t>Expenditures for drydocking and overhaul</t>
  </si>
  <si>
    <t>Other Investing - net</t>
  </si>
  <si>
    <t>Debt borrowings / repayments</t>
  </si>
  <si>
    <t>Equity issuances</t>
  </si>
  <si>
    <t>Other Financing - net</t>
  </si>
  <si>
    <t>Effect of exchange rate on cash</t>
  </si>
  <si>
    <t>assetSaleGains</t>
  </si>
  <si>
    <t>equityInSubsidiary</t>
  </si>
  <si>
    <t>cashMinorityInterest</t>
  </si>
  <si>
    <t>deferredIncomeTaxes</t>
  </si>
  <si>
    <t>workingCapitalInvestment</t>
  </si>
  <si>
    <t>decreaseInAcctsReceivable</t>
  </si>
  <si>
    <t>decreaseInOtherPrepaids</t>
  </si>
  <si>
    <t>decreaseInAcctsPayable</t>
  </si>
  <si>
    <t>otherAccruedLiabilities</t>
  </si>
  <si>
    <t>capEx</t>
  </si>
  <si>
    <t>proceedsFromAssetSales</t>
  </si>
  <si>
    <t>expendituresForDrydock</t>
  </si>
  <si>
    <t>debtBorrowing</t>
  </si>
  <si>
    <t>equityIssuance</t>
  </si>
  <si>
    <t>netOtherFinancing</t>
  </si>
  <si>
    <t>netOtherInvesting</t>
  </si>
  <si>
    <t>netOtherOperating</t>
  </si>
  <si>
    <t>exchangeRateEffect</t>
  </si>
  <si>
    <t>cashFlowsOperating</t>
  </si>
  <si>
    <t>cashFlowsInvesting</t>
  </si>
  <si>
    <t>cashFlowsFinancing</t>
  </si>
  <si>
    <t>debtBorrowing + equityIssuance + netOtherFinancing</t>
  </si>
  <si>
    <t>Cash Flows from Financing Activities</t>
  </si>
  <si>
    <t>Cash Flows from Operating Activities</t>
  </si>
  <si>
    <t>Cash Flows from Investing Activities</t>
  </si>
  <si>
    <t>capEx + proceedsFromAssetSales + expendituresForDrydock + netOtherInvesting</t>
  </si>
  <si>
    <t>netIncome + dda + assetSaleGains + equityInSubsidiary + cashMinorityInterest + deferredIncomeTaxes + workingCapitalInvestment + netOtherOperating + decreaseInAcctsReceivable + decreaseInOtherPrepaids + decreaseInAcctsPayable + otherAccruedLiabilities</t>
  </si>
  <si>
    <t>netChangeInCash</t>
  </si>
  <si>
    <t>cashFlowsOperating + cashFlowsInvesting + cashFlowsFinancing + exchangeRateEffect</t>
  </si>
  <si>
    <t>Net Increase (Decrease) in Cash &amp; Equivalents</t>
  </si>
  <si>
    <t>Change in Working Capital (exc. Cash)</t>
  </si>
  <si>
    <t>changeInWorkingCapital</t>
  </si>
  <si>
    <t>decreaseInAcctsReceivable + decreaseInOtherPrepaids + decreaseInAcctsPayable + otherAccruedLiabilities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</si>
</sst>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SF Pro Text"/>
      <family val="2"/>
    </font>
    <font>
      <sz val="11"/>
      <color theme="1"/>
      <name val="SF Mono Regular"/>
    </font>
    <font>
      <sz val="11"/>
      <color theme="1"/>
      <name val="SF MONO SEMIBOLD"/>
      <family val="3"/>
    </font>
    <font>
      <sz val="18"/>
      <color theme="1"/>
      <name val="SF PRO DISPLAY SEMI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6773-1B3D-3442-8F76-197528A2BFEA}">
  <dimension ref="A1:B1"/>
  <sheetViews>
    <sheetView workbookViewId="0"/>
  </sheetViews>
  <sheetFormatPr baseColWidth="10" defaultColWidth="14.28515625" defaultRowHeight="20" customHeight="1"/>
  <cols>
    <col min="1" max="2" width="2.85546875" style="2" customWidth="1"/>
    <col min="3" max="16384" width="14.28515625" style="1"/>
  </cols>
  <sheetData>
    <row r="1" s="3" customFormat="1" ht="4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9B94-9303-1643-A860-B32FF1F991DB}">
  <dimension ref="A1:O51"/>
  <sheetViews>
    <sheetView tabSelected="1" topLeftCell="A23" workbookViewId="0">
      <selection activeCell="A51" sqref="A51"/>
    </sheetView>
  </sheetViews>
  <sheetFormatPr baseColWidth="10" defaultColWidth="14.28515625" defaultRowHeight="20" customHeight="1"/>
  <cols>
    <col min="1" max="2" width="2.85546875" style="2" customWidth="1"/>
    <col min="3" max="3" width="14.28515625" style="1"/>
    <col min="4" max="4" width="32.5703125" style="1" bestFit="1" customWidth="1"/>
    <col min="5" max="16384" width="14.28515625" style="1"/>
  </cols>
  <sheetData>
    <row r="1" spans="1:4" s="3" customFormat="1" ht="40" customHeight="1">
      <c r="A1" s="3" t="s">
        <v>0</v>
      </c>
    </row>
    <row r="2" spans="1:4" ht="20" customHeight="1">
      <c r="B2" s="2" t="s">
        <v>1</v>
      </c>
    </row>
    <row r="3" spans="1:4" ht="20" customHeight="1">
      <c r="C3" s="1" t="s">
        <v>20</v>
      </c>
    </row>
    <row r="4" spans="1:4" ht="20" customHeight="1">
      <c r="C4" s="1" t="s">
        <v>21</v>
      </c>
      <c r="D4" s="1" t="s">
        <v>19</v>
      </c>
    </row>
    <row r="5" spans="1:4" ht="20" customHeight="1">
      <c r="C5" s="1" t="s">
        <v>22</v>
      </c>
      <c r="D5" s="1" t="s">
        <v>24</v>
      </c>
    </row>
    <row r="6" spans="1:4" ht="20" customHeight="1">
      <c r="B6" s="2" t="s">
        <v>23</v>
      </c>
    </row>
    <row r="7" spans="1:4" ht="20" customHeight="1">
      <c r="C7" s="1" t="s">
        <v>6</v>
      </c>
    </row>
    <row r="8" spans="1:4" ht="20" customHeight="1">
      <c r="D8" s="1" t="s">
        <v>7</v>
      </c>
    </row>
    <row r="9" spans="1:4" ht="20" customHeight="1">
      <c r="D9" s="1" t="s">
        <v>8</v>
      </c>
    </row>
    <row r="10" spans="1:4" ht="20" customHeight="1">
      <c r="D10" s="1" t="s">
        <v>9</v>
      </c>
    </row>
    <row r="11" spans="1:4" ht="20" customHeight="1">
      <c r="D11" s="1" t="s">
        <v>10</v>
      </c>
    </row>
    <row r="12" spans="1:4" ht="20" customHeight="1">
      <c r="C12" s="1" t="s">
        <v>11</v>
      </c>
    </row>
    <row r="13" spans="1:4" ht="20" customHeight="1">
      <c r="D13" s="1" t="s">
        <v>12</v>
      </c>
    </row>
    <row r="14" spans="1:4" ht="20" customHeight="1">
      <c r="D14" s="1" t="s">
        <v>13</v>
      </c>
    </row>
    <row r="15" spans="1:4" ht="20" customHeight="1">
      <c r="D15" s="1" t="s">
        <v>14</v>
      </c>
    </row>
    <row r="16" spans="1:4" ht="20" customHeight="1">
      <c r="D16" s="1" t="s">
        <v>15</v>
      </c>
    </row>
    <row r="17" spans="3:15" ht="20" customHeight="1">
      <c r="C17" s="1" t="s">
        <v>2</v>
      </c>
    </row>
    <row r="18" spans="3:15" ht="20" customHeight="1">
      <c r="D18" s="1" t="s">
        <v>3</v>
      </c>
    </row>
    <row r="19" spans="3:15" ht="20" customHeight="1">
      <c r="D19" s="1" t="s">
        <v>4</v>
      </c>
    </row>
    <row r="20" spans="3:15" ht="20" customHeight="1">
      <c r="D20" s="1" t="s">
        <v>5</v>
      </c>
    </row>
    <row r="21" spans="3:15" ht="20" customHeight="1">
      <c r="C21" s="1" t="s">
        <v>16</v>
      </c>
    </row>
    <row r="22" spans="3:15" ht="20" customHeight="1">
      <c r="D22" s="1" t="s">
        <v>17</v>
      </c>
      <c r="E22" s="1" t="s">
        <v>33</v>
      </c>
      <c r="F22" s="1" t="s">
        <v>34</v>
      </c>
      <c r="G22" s="1" t="s">
        <v>35</v>
      </c>
      <c r="H22" s="1" t="s">
        <v>36</v>
      </c>
    </row>
    <row r="23" spans="3:15" ht="20" customHeight="1">
      <c r="D23" s="1" t="s">
        <v>18</v>
      </c>
      <c r="E23" s="1" t="s">
        <v>19</v>
      </c>
      <c r="F23" s="1" t="s">
        <v>18</v>
      </c>
      <c r="H23" s="1" t="s">
        <v>25</v>
      </c>
      <c r="I23" s="1" t="str">
        <f>""""&amp;D23&amp;""":{"</f>
        <v>"revenue":{</v>
      </c>
      <c r="J23" s="1" t="str">
        <f>""""&amp;E$22&amp;""": """&amp;E23&amp;""","</f>
        <v>"source": "historical",</v>
      </c>
      <c r="K23" s="1" t="str">
        <f>IF($E23="historical",""""&amp;F$22&amp;""": """&amp;F23&amp;""",","")</f>
        <v>"field": "revenue",</v>
      </c>
      <c r="L23" s="1" t="str">
        <f>IF($E23="calculated",""""&amp;G$22&amp;""": """&amp;G23&amp;""",","")</f>
        <v/>
      </c>
      <c r="M23" s="1" t="str">
        <f>""""&amp;H$22&amp;""": """&amp;H23&amp;"""},"</f>
        <v>"displayName": "Revenues"},</v>
      </c>
      <c r="O23" s="1" t="str">
        <f>I23&amp;J23&amp;K23&amp;L23&amp;M23</f>
        <v>"revenue":{"source": "historical","field": "revenue","displayName": "Revenues"},</v>
      </c>
    </row>
    <row r="24" spans="3:15" ht="20" customHeight="1">
      <c r="D24" s="1" t="s">
        <v>26</v>
      </c>
      <c r="E24" s="1" t="s">
        <v>19</v>
      </c>
      <c r="F24" s="1" t="s">
        <v>27</v>
      </c>
      <c r="H24" s="1" t="s">
        <v>28</v>
      </c>
      <c r="I24" s="1" t="str">
        <f t="shared" ref="I24:I50" si="0">""""&amp;D24&amp;""":{"</f>
        <v>"opex":{</v>
      </c>
      <c r="J24" s="1" t="str">
        <f t="shared" ref="J24:J28" si="1">""""&amp;E$22&amp;""": """&amp;E24&amp;""","</f>
        <v>"source": "historical",</v>
      </c>
      <c r="K24" s="1" t="str">
        <f t="shared" ref="K24:K28" si="2">IF($E24="historical",""""&amp;F$22&amp;""": """&amp;F24&amp;""",","")</f>
        <v>"field": "Direct operating",</v>
      </c>
      <c r="L24" s="1" t="str">
        <f t="shared" ref="L24:L27" si="3">IF($E24="calculated",""""&amp;G$22&amp;""": """&amp;G24&amp;""",","")</f>
        <v/>
      </c>
      <c r="M24" s="1" t="str">
        <f t="shared" ref="M24:M27" si="4">""""&amp;H$22&amp;""": """&amp;H24&amp;"""},"</f>
        <v>"displayName": "Direct Operating"},</v>
      </c>
      <c r="O24" s="1" t="str">
        <f t="shared" ref="O24:O27" si="5">I24&amp;J24&amp;K24&amp;L24&amp;M24</f>
        <v>"opex":{"source": "historical","field": "Direct operating","displayName": "Direct Operating"},</v>
      </c>
    </row>
    <row r="25" spans="3:15" ht="20" customHeight="1">
      <c r="D25" s="1" t="s">
        <v>29</v>
      </c>
      <c r="E25" s="1" t="s">
        <v>19</v>
      </c>
      <c r="F25" s="1" t="s">
        <v>30</v>
      </c>
      <c r="H25" s="1" t="s">
        <v>31</v>
      </c>
      <c r="I25" s="1" t="str">
        <f t="shared" si="0"/>
        <v>"bareboarCharterExpense":{</v>
      </c>
      <c r="J25" s="1" t="str">
        <f t="shared" si="1"/>
        <v>"source": "historical",</v>
      </c>
      <c r="K25" s="1" t="str">
        <f t="shared" si="2"/>
        <v>"field": "Bareboat charter expense",</v>
      </c>
      <c r="L25" s="1" t="str">
        <f t="shared" si="3"/>
        <v/>
      </c>
      <c r="M25" s="1" t="str">
        <f t="shared" si="4"/>
        <v>"displayName": "Bareboat Charter Expense"},</v>
      </c>
      <c r="O25" s="1" t="str">
        <f t="shared" si="5"/>
        <v>"bareboarCharterExpense":{"source": "historical","field": "Bareboat charter expense","displayName": "Bareboat Charter Expense"},</v>
      </c>
    </row>
    <row r="26" spans="3:15" ht="20" customHeight="1">
      <c r="D26" s="1" t="s">
        <v>32</v>
      </c>
      <c r="E26" s="1" t="s">
        <v>19</v>
      </c>
      <c r="I26" s="1" t="str">
        <f t="shared" si="0"/>
        <v>"generalAndAdministrativeExpense":{</v>
      </c>
      <c r="J26" s="1" t="str">
        <f t="shared" si="1"/>
        <v>"source": "historical",</v>
      </c>
      <c r="K26" s="1" t="str">
        <f t="shared" si="2"/>
        <v>"field": "",</v>
      </c>
      <c r="L26" s="1" t="str">
        <f t="shared" si="3"/>
        <v/>
      </c>
      <c r="M26" s="1" t="str">
        <f t="shared" si="4"/>
        <v>"displayName": ""},</v>
      </c>
      <c r="O26" s="1" t="str">
        <f t="shared" si="5"/>
        <v>"generalAndAdministrativeExpense":{"source": "historical","field": "","displayName": ""},</v>
      </c>
    </row>
    <row r="27" spans="3:15" ht="20" customHeight="1">
      <c r="D27" s="1" t="s">
        <v>37</v>
      </c>
      <c r="E27" s="1" t="s">
        <v>24</v>
      </c>
      <c r="G27" s="1" t="s">
        <v>38</v>
      </c>
      <c r="H27" s="1" t="s">
        <v>39</v>
      </c>
      <c r="I27" s="1" t="str">
        <f t="shared" si="0"/>
        <v>"cogs":{</v>
      </c>
      <c r="J27" s="1" t="str">
        <f t="shared" si="1"/>
        <v>"source": "calculated",</v>
      </c>
      <c r="K27" s="1" t="str">
        <f t="shared" si="2"/>
        <v/>
      </c>
      <c r="L27" s="1" t="str">
        <f t="shared" si="3"/>
        <v>"formula": "opex + bareboatCharterExpense",</v>
      </c>
      <c r="M27" s="1" t="str">
        <f t="shared" si="4"/>
        <v>"displayName": "Operating Expenses"},</v>
      </c>
      <c r="O27" s="1" t="str">
        <f t="shared" si="5"/>
        <v>"cogs":{"source": "calculated","formula": "opex + bareboatCharterExpense","displayName": "Operating Expenses"},</v>
      </c>
    </row>
    <row r="28" spans="3:15" ht="20" customHeight="1">
      <c r="D28" s="1" t="s">
        <v>40</v>
      </c>
      <c r="E28" s="1" t="s">
        <v>19</v>
      </c>
      <c r="F28" s="1" t="s">
        <v>40</v>
      </c>
      <c r="G28" s="1" t="s">
        <v>41</v>
      </c>
      <c r="I28" s="1" t="str">
        <f t="shared" si="0"/>
        <v>"otherExpenses":{</v>
      </c>
      <c r="J28" s="1" t="str">
        <f t="shared" ref="J28:J50" si="6">""""&amp;E$22&amp;""": """&amp;E28&amp;""","</f>
        <v>"source": "historical",</v>
      </c>
      <c r="K28" s="1" t="str">
        <f t="shared" ref="K28:K46" si="7">IF($E28="historical",""""&amp;F$22&amp;""": """&amp;F28&amp;""",","")</f>
        <v>"field": "otherExpenses",</v>
      </c>
      <c r="L28" s="1" t="str">
        <f t="shared" ref="L28:L50" si="8">IF($E28="calculated",""""&amp;G$22&amp;""": """&amp;G28&amp;""",","")</f>
        <v/>
      </c>
      <c r="M28" s="1" t="str">
        <f t="shared" ref="M28:M50" si="9">""""&amp;H$22&amp;""": """&amp;H28&amp;"""},"</f>
        <v>"displayName": ""},</v>
      </c>
      <c r="O28" s="1" t="str">
        <f t="shared" ref="O28:O50" si="10">I28&amp;J28&amp;K28&amp;L28&amp;M28</f>
        <v>"otherExpenses":{"source": "historical","field": "otherExpenses","displayName": ""},</v>
      </c>
    </row>
    <row r="29" spans="3:15" ht="20" customHeight="1">
      <c r="D29" s="1" t="s">
        <v>60</v>
      </c>
      <c r="E29" s="1" t="s">
        <v>19</v>
      </c>
      <c r="F29" s="1" t="s">
        <v>42</v>
      </c>
      <c r="H29" s="1" t="str">
        <f>F29</f>
        <v>Asset sale gains (losses)</v>
      </c>
      <c r="I29" s="1" t="str">
        <f t="shared" si="0"/>
        <v>"assetSaleGains":{</v>
      </c>
      <c r="J29" s="1" t="str">
        <f t="shared" si="6"/>
        <v>"source": "historical",</v>
      </c>
      <c r="K29" s="1" t="str">
        <f t="shared" si="7"/>
        <v>"field": "Asset sale gains (losses)",</v>
      </c>
      <c r="L29" s="1" t="str">
        <f t="shared" si="8"/>
        <v/>
      </c>
      <c r="M29" s="1" t="str">
        <f t="shared" si="9"/>
        <v>"displayName": "Asset sale gains (losses)"},</v>
      </c>
      <c r="O29" s="1" t="str">
        <f t="shared" si="10"/>
        <v>"assetSaleGains":{"source": "historical","field": "Asset sale gains (losses)","displayName": "Asset sale gains (losses)"},</v>
      </c>
    </row>
    <row r="30" spans="3:15" ht="20" customHeight="1">
      <c r="D30" s="1" t="s">
        <v>61</v>
      </c>
      <c r="E30" s="1" t="s">
        <v>19</v>
      </c>
      <c r="F30" s="1" t="s">
        <v>43</v>
      </c>
      <c r="H30" s="1" t="str">
        <f t="shared" ref="H30:H46" si="11">F30</f>
        <v>Equity in earnings (losses) of EVI</v>
      </c>
      <c r="I30" s="1" t="str">
        <f t="shared" si="0"/>
        <v>"equityInSubsidiary":{</v>
      </c>
      <c r="J30" s="1" t="str">
        <f t="shared" si="6"/>
        <v>"source": "historical",</v>
      </c>
      <c r="K30" s="1" t="str">
        <f t="shared" si="7"/>
        <v>"field": "Equity in earnings (losses) of EVI",</v>
      </c>
      <c r="L30" s="1" t="str">
        <f t="shared" si="8"/>
        <v/>
      </c>
      <c r="M30" s="1" t="str">
        <f t="shared" si="9"/>
        <v>"displayName": "Equity in earnings (losses) of EVI"},</v>
      </c>
      <c r="O30" s="1" t="str">
        <f t="shared" si="10"/>
        <v>"equityInSubsidiary":{"source": "historical","field": "Equity in earnings (losses) of EVI","displayName": "Equity in earnings (losses) of EVI"},</v>
      </c>
    </row>
    <row r="31" spans="3:15" ht="20" customHeight="1">
      <c r="D31" s="1" t="s">
        <v>62</v>
      </c>
      <c r="E31" s="1" t="s">
        <v>19</v>
      </c>
      <c r="F31" s="1" t="s">
        <v>44</v>
      </c>
      <c r="H31" s="1" t="str">
        <f t="shared" si="11"/>
        <v>Minority interest</v>
      </c>
      <c r="I31" s="1" t="str">
        <f t="shared" si="0"/>
        <v>"cashMinorityInterest":{</v>
      </c>
      <c r="J31" s="1" t="str">
        <f t="shared" si="6"/>
        <v>"source": "historical",</v>
      </c>
      <c r="K31" s="1" t="str">
        <f t="shared" si="7"/>
        <v>"field": "Minority interest",</v>
      </c>
      <c r="L31" s="1" t="str">
        <f t="shared" si="8"/>
        <v/>
      </c>
      <c r="M31" s="1" t="str">
        <f t="shared" si="9"/>
        <v>"displayName": "Minority interest"},</v>
      </c>
      <c r="O31" s="1" t="str">
        <f t="shared" si="10"/>
        <v>"cashMinorityInterest":{"source": "historical","field": "Minority interest","displayName": "Minority interest"},</v>
      </c>
    </row>
    <row r="32" spans="3:15" ht="20" customHeight="1">
      <c r="D32" s="1" t="s">
        <v>63</v>
      </c>
      <c r="E32" s="1" t="s">
        <v>19</v>
      </c>
      <c r="F32" s="1" t="s">
        <v>45</v>
      </c>
      <c r="H32" s="1" t="str">
        <f t="shared" si="11"/>
        <v>Deferred income taxes</v>
      </c>
      <c r="I32" s="1" t="str">
        <f t="shared" si="0"/>
        <v>"deferredIncomeTaxes":{</v>
      </c>
      <c r="J32" s="1" t="str">
        <f t="shared" si="6"/>
        <v>"source": "historical",</v>
      </c>
      <c r="K32" s="1" t="str">
        <f t="shared" si="7"/>
        <v>"field": "Deferred income taxes",</v>
      </c>
      <c r="L32" s="1" t="str">
        <f t="shared" si="8"/>
        <v/>
      </c>
      <c r="M32" s="1" t="str">
        <f t="shared" si="9"/>
        <v>"displayName": "Deferred income taxes"},</v>
      </c>
      <c r="O32" s="1" t="str">
        <f t="shared" si="10"/>
        <v>"deferredIncomeTaxes":{"source": "historical","field": "Deferred income taxes","displayName": "Deferred income taxes"},</v>
      </c>
    </row>
    <row r="33" spans="4:15" ht="20" customHeight="1">
      <c r="D33" s="1" t="s">
        <v>64</v>
      </c>
      <c r="E33" s="1" t="s">
        <v>19</v>
      </c>
      <c r="F33" s="1" t="s">
        <v>46</v>
      </c>
      <c r="H33" s="1" t="str">
        <f t="shared" si="11"/>
        <v>Working capital investment</v>
      </c>
      <c r="I33" s="1" t="str">
        <f t="shared" si="0"/>
        <v>"workingCapitalInvestment":{</v>
      </c>
      <c r="J33" s="1" t="str">
        <f t="shared" si="6"/>
        <v>"source": "historical",</v>
      </c>
      <c r="K33" s="1" t="str">
        <f t="shared" si="7"/>
        <v>"field": "Working capital investment",</v>
      </c>
      <c r="L33" s="1" t="str">
        <f t="shared" si="8"/>
        <v/>
      </c>
      <c r="M33" s="1" t="str">
        <f t="shared" si="9"/>
        <v>"displayName": "Working capital investment"},</v>
      </c>
      <c r="O33" s="1" t="str">
        <f t="shared" si="10"/>
        <v>"workingCapitalInvestment":{"source": "historical","field": "Working capital investment","displayName": "Working capital investment"},</v>
      </c>
    </row>
    <row r="34" spans="4:15" ht="20" customHeight="1">
      <c r="D34" s="1" t="s">
        <v>76</v>
      </c>
      <c r="E34" s="1" t="s">
        <v>19</v>
      </c>
      <c r="F34" s="1" t="s">
        <v>47</v>
      </c>
      <c r="H34" s="1" t="str">
        <f t="shared" si="11"/>
        <v>Other Operating - net</v>
      </c>
      <c r="I34" s="1" t="str">
        <f t="shared" si="0"/>
        <v>"netOtherOperating":{</v>
      </c>
      <c r="J34" s="1" t="str">
        <f t="shared" si="6"/>
        <v>"source": "historical",</v>
      </c>
      <c r="K34" s="1" t="str">
        <f t="shared" si="7"/>
        <v>"field": "Other Operating - net",</v>
      </c>
      <c r="L34" s="1" t="str">
        <f t="shared" si="8"/>
        <v/>
      </c>
      <c r="M34" s="1" t="str">
        <f t="shared" si="9"/>
        <v>"displayName": "Other Operating - net"},</v>
      </c>
      <c r="O34" s="1" t="str">
        <f t="shared" si="10"/>
        <v>"netOtherOperating":{"source": "historical","field": "Other Operating - net","displayName": "Other Operating - net"},</v>
      </c>
    </row>
    <row r="35" spans="4:15" ht="20" customHeight="1">
      <c r="D35" s="1" t="s">
        <v>65</v>
      </c>
      <c r="E35" s="1" t="s">
        <v>19</v>
      </c>
      <c r="F35" s="1" t="s">
        <v>48</v>
      </c>
      <c r="H35" s="1" t="str">
        <f t="shared" si="11"/>
        <v>(Increase) decrease in accounts receivable</v>
      </c>
      <c r="I35" s="1" t="str">
        <f t="shared" si="0"/>
        <v>"decreaseInAcctsReceivable":{</v>
      </c>
      <c r="J35" s="1" t="str">
        <f t="shared" si="6"/>
        <v>"source": "historical",</v>
      </c>
      <c r="K35" s="1" t="str">
        <f t="shared" si="7"/>
        <v>"field": "(Increase) decrease in accounts receivable",</v>
      </c>
      <c r="L35" s="1" t="str">
        <f t="shared" si="8"/>
        <v/>
      </c>
      <c r="M35" s="1" t="str">
        <f t="shared" si="9"/>
        <v>"displayName": "(Increase) decrease in accounts receivable"},</v>
      </c>
      <c r="O35" s="1" t="str">
        <f t="shared" si="10"/>
        <v>"decreaseInAcctsReceivable":{"source": "historical","field": "(Increase) decrease in accounts receivable","displayName": "(Increase) decrease in accounts receivable"},</v>
      </c>
    </row>
    <row r="36" spans="4:15" ht="20" customHeight="1">
      <c r="D36" s="1" t="s">
        <v>66</v>
      </c>
      <c r="E36" s="1" t="s">
        <v>19</v>
      </c>
      <c r="F36" s="1" t="s">
        <v>49</v>
      </c>
      <c r="H36" s="1" t="str">
        <f t="shared" si="11"/>
        <v>(Increase) decrease in other prepaids and other</v>
      </c>
      <c r="I36" s="1" t="str">
        <f t="shared" si="0"/>
        <v>"decreaseInOtherPrepaids":{</v>
      </c>
      <c r="J36" s="1" t="str">
        <f t="shared" si="6"/>
        <v>"source": "historical",</v>
      </c>
      <c r="K36" s="1" t="str">
        <f t="shared" si="7"/>
        <v>"field": "(Increase) decrease in other prepaids and other",</v>
      </c>
      <c r="L36" s="1" t="str">
        <f t="shared" si="8"/>
        <v/>
      </c>
      <c r="M36" s="1" t="str">
        <f t="shared" si="9"/>
        <v>"displayName": "(Increase) decrease in other prepaids and other"},</v>
      </c>
      <c r="O36" s="1" t="str">
        <f t="shared" si="10"/>
        <v>"decreaseInOtherPrepaids":{"source": "historical","field": "(Increase) decrease in other prepaids and other","displayName": "(Increase) decrease in other prepaids and other"},</v>
      </c>
    </row>
    <row r="37" spans="4:15" ht="20" customHeight="1">
      <c r="D37" s="1" t="s">
        <v>67</v>
      </c>
      <c r="E37" s="1" t="s">
        <v>19</v>
      </c>
      <c r="F37" s="1" t="s">
        <v>50</v>
      </c>
      <c r="H37" s="1" t="str">
        <f t="shared" si="11"/>
        <v>Decrease  in accounts payable</v>
      </c>
      <c r="I37" s="1" t="str">
        <f t="shared" si="0"/>
        <v>"decreaseInAcctsPayable":{</v>
      </c>
      <c r="J37" s="1" t="str">
        <f t="shared" si="6"/>
        <v>"source": "historical",</v>
      </c>
      <c r="K37" s="1" t="str">
        <f t="shared" si="7"/>
        <v>"field": "Decrease  in accounts payable",</v>
      </c>
      <c r="L37" s="1" t="str">
        <f t="shared" si="8"/>
        <v/>
      </c>
      <c r="M37" s="1" t="str">
        <f t="shared" si="9"/>
        <v>"displayName": "Decrease  in accounts payable"},</v>
      </c>
      <c r="O37" s="1" t="str">
        <f t="shared" si="10"/>
        <v>"decreaseInAcctsPayable":{"source": "historical","field": "Decrease  in accounts payable","displayName": "Decrease  in accounts payable"},</v>
      </c>
    </row>
    <row r="38" spans="4:15" ht="20" customHeight="1">
      <c r="D38" s="1" t="s">
        <v>68</v>
      </c>
      <c r="E38" s="1" t="s">
        <v>19</v>
      </c>
      <c r="F38" s="1" t="s">
        <v>51</v>
      </c>
      <c r="H38" s="1" t="str">
        <f t="shared" si="11"/>
        <v>Other accrued liabilities</v>
      </c>
      <c r="I38" s="1" t="str">
        <f t="shared" si="0"/>
        <v>"otherAccruedLiabilities":{</v>
      </c>
      <c r="J38" s="1" t="str">
        <f t="shared" si="6"/>
        <v>"source": "historical",</v>
      </c>
      <c r="K38" s="1" t="str">
        <f t="shared" si="7"/>
        <v>"field": "Other accrued liabilities",</v>
      </c>
      <c r="L38" s="1" t="str">
        <f t="shared" si="8"/>
        <v/>
      </c>
      <c r="M38" s="1" t="str">
        <f t="shared" si="9"/>
        <v>"displayName": "Other accrued liabilities"},</v>
      </c>
      <c r="O38" s="1" t="str">
        <f t="shared" si="10"/>
        <v>"otherAccruedLiabilities":{"source": "historical","field": "Other accrued liabilities","displayName": "Other accrued liabilities"},</v>
      </c>
    </row>
    <row r="39" spans="4:15" ht="20" customHeight="1">
      <c r="D39" s="1" t="s">
        <v>69</v>
      </c>
      <c r="E39" s="1" t="s">
        <v>19</v>
      </c>
      <c r="F39" s="1" t="s">
        <v>52</v>
      </c>
      <c r="H39" s="1" t="str">
        <f t="shared" si="11"/>
        <v>Capital expenditures</v>
      </c>
      <c r="I39" s="1" t="str">
        <f t="shared" si="0"/>
        <v>"capEx":{</v>
      </c>
      <c r="J39" s="1" t="str">
        <f t="shared" si="6"/>
        <v>"source": "historical",</v>
      </c>
      <c r="K39" s="1" t="str">
        <f t="shared" si="7"/>
        <v>"field": "Capital expenditures",</v>
      </c>
      <c r="L39" s="1" t="str">
        <f t="shared" si="8"/>
        <v/>
      </c>
      <c r="M39" s="1" t="str">
        <f t="shared" si="9"/>
        <v>"displayName": "Capital expenditures"},</v>
      </c>
      <c r="O39" s="1" t="str">
        <f t="shared" si="10"/>
        <v>"capEx":{"source": "historical","field": "Capital expenditures","displayName": "Capital expenditures"},</v>
      </c>
    </row>
    <row r="40" spans="4:15" ht="20" customHeight="1">
      <c r="D40" s="1" t="s">
        <v>70</v>
      </c>
      <c r="E40" s="1" t="s">
        <v>19</v>
      </c>
      <c r="F40" s="1" t="s">
        <v>53</v>
      </c>
      <c r="H40" s="1" t="str">
        <f t="shared" si="11"/>
        <v>Proceeds from asset sales</v>
      </c>
      <c r="I40" s="1" t="str">
        <f t="shared" si="0"/>
        <v>"proceedsFromAssetSales":{</v>
      </c>
      <c r="J40" s="1" t="str">
        <f t="shared" si="6"/>
        <v>"source": "historical",</v>
      </c>
      <c r="K40" s="1" t="str">
        <f t="shared" si="7"/>
        <v>"field": "Proceeds from asset sales",</v>
      </c>
      <c r="L40" s="1" t="str">
        <f t="shared" si="8"/>
        <v/>
      </c>
      <c r="M40" s="1" t="str">
        <f t="shared" si="9"/>
        <v>"displayName": "Proceeds from asset sales"},</v>
      </c>
      <c r="O40" s="1" t="str">
        <f t="shared" si="10"/>
        <v>"proceedsFromAssetSales":{"source": "historical","field": "Proceeds from asset sales","displayName": "Proceeds from asset sales"},</v>
      </c>
    </row>
    <row r="41" spans="4:15" ht="20" customHeight="1">
      <c r="D41" s="1" t="s">
        <v>71</v>
      </c>
      <c r="E41" s="1" t="s">
        <v>19</v>
      </c>
      <c r="F41" s="1" t="s">
        <v>54</v>
      </c>
      <c r="H41" s="1" t="str">
        <f t="shared" si="11"/>
        <v>Expenditures for drydocking and overhaul</v>
      </c>
      <c r="I41" s="1" t="str">
        <f t="shared" si="0"/>
        <v>"expendituresForDrydock":{</v>
      </c>
      <c r="J41" s="1" t="str">
        <f t="shared" si="6"/>
        <v>"source": "historical",</v>
      </c>
      <c r="K41" s="1" t="str">
        <f t="shared" si="7"/>
        <v>"field": "Expenditures for drydocking and overhaul",</v>
      </c>
      <c r="L41" s="1" t="str">
        <f t="shared" si="8"/>
        <v/>
      </c>
      <c r="M41" s="1" t="str">
        <f t="shared" si="9"/>
        <v>"displayName": "Expenditures for drydocking and overhaul"},</v>
      </c>
      <c r="O41" s="1" t="str">
        <f t="shared" si="10"/>
        <v>"expendituresForDrydock":{"source": "historical","field": "Expenditures for drydocking and overhaul","displayName": "Expenditures for drydocking and overhaul"},</v>
      </c>
    </row>
    <row r="42" spans="4:15" ht="20" customHeight="1">
      <c r="D42" s="1" t="s">
        <v>75</v>
      </c>
      <c r="E42" s="1" t="s">
        <v>19</v>
      </c>
      <c r="F42" s="1" t="s">
        <v>55</v>
      </c>
      <c r="H42" s="1" t="str">
        <f t="shared" si="11"/>
        <v>Other Investing - net</v>
      </c>
      <c r="I42" s="1" t="str">
        <f t="shared" si="0"/>
        <v>"netOtherInvesting":{</v>
      </c>
      <c r="J42" s="1" t="str">
        <f t="shared" si="6"/>
        <v>"source": "historical",</v>
      </c>
      <c r="K42" s="1" t="str">
        <f t="shared" si="7"/>
        <v>"field": "Other Investing - net",</v>
      </c>
      <c r="L42" s="1" t="str">
        <f t="shared" si="8"/>
        <v/>
      </c>
      <c r="M42" s="1" t="str">
        <f t="shared" si="9"/>
        <v>"displayName": "Other Investing - net"},</v>
      </c>
      <c r="O42" s="1" t="str">
        <f t="shared" si="10"/>
        <v>"netOtherInvesting":{"source": "historical","field": "Other Investing - net","displayName": "Other Investing - net"},</v>
      </c>
    </row>
    <row r="43" spans="4:15" ht="20" customHeight="1">
      <c r="D43" s="1" t="s">
        <v>72</v>
      </c>
      <c r="E43" s="1" t="s">
        <v>19</v>
      </c>
      <c r="F43" s="1" t="s">
        <v>56</v>
      </c>
      <c r="H43" s="1" t="str">
        <f t="shared" si="11"/>
        <v>Debt borrowings / repayments</v>
      </c>
      <c r="I43" s="1" t="str">
        <f t="shared" si="0"/>
        <v>"debtBorrowing":{</v>
      </c>
      <c r="J43" s="1" t="str">
        <f t="shared" si="6"/>
        <v>"source": "historical",</v>
      </c>
      <c r="K43" s="1" t="str">
        <f t="shared" si="7"/>
        <v>"field": "Debt borrowings / repayments",</v>
      </c>
      <c r="L43" s="1" t="str">
        <f t="shared" si="8"/>
        <v/>
      </c>
      <c r="M43" s="1" t="str">
        <f t="shared" si="9"/>
        <v>"displayName": "Debt borrowings / repayments"},</v>
      </c>
      <c r="O43" s="1" t="str">
        <f t="shared" si="10"/>
        <v>"debtBorrowing":{"source": "historical","field": "Debt borrowings / repayments","displayName": "Debt borrowings / repayments"},</v>
      </c>
    </row>
    <row r="44" spans="4:15" ht="20" customHeight="1">
      <c r="D44" s="1" t="s">
        <v>73</v>
      </c>
      <c r="E44" s="1" t="s">
        <v>19</v>
      </c>
      <c r="F44" s="1" t="s">
        <v>57</v>
      </c>
      <c r="H44" s="1" t="str">
        <f t="shared" si="11"/>
        <v>Equity issuances</v>
      </c>
      <c r="I44" s="1" t="str">
        <f t="shared" si="0"/>
        <v>"equityIssuance":{</v>
      </c>
      <c r="J44" s="1" t="str">
        <f t="shared" si="6"/>
        <v>"source": "historical",</v>
      </c>
      <c r="K44" s="1" t="str">
        <f t="shared" si="7"/>
        <v>"field": "Equity issuances",</v>
      </c>
      <c r="L44" s="1" t="str">
        <f t="shared" si="8"/>
        <v/>
      </c>
      <c r="M44" s="1" t="str">
        <f t="shared" si="9"/>
        <v>"displayName": "Equity issuances"},</v>
      </c>
      <c r="O44" s="1" t="str">
        <f t="shared" si="10"/>
        <v>"equityIssuance":{"source": "historical","field": "Equity issuances","displayName": "Equity issuances"},</v>
      </c>
    </row>
    <row r="45" spans="4:15" ht="20" customHeight="1">
      <c r="D45" s="1" t="s">
        <v>74</v>
      </c>
      <c r="E45" s="1" t="s">
        <v>19</v>
      </c>
      <c r="F45" s="1" t="s">
        <v>58</v>
      </c>
      <c r="H45" s="1" t="str">
        <f t="shared" si="11"/>
        <v>Other Financing - net</v>
      </c>
      <c r="I45" s="1" t="str">
        <f t="shared" si="0"/>
        <v>"netOtherFinancing":{</v>
      </c>
      <c r="J45" s="1" t="str">
        <f t="shared" si="6"/>
        <v>"source": "historical",</v>
      </c>
      <c r="K45" s="1" t="str">
        <f t="shared" si="7"/>
        <v>"field": "Other Financing - net",</v>
      </c>
      <c r="L45" s="1" t="str">
        <f t="shared" si="8"/>
        <v/>
      </c>
      <c r="M45" s="1" t="str">
        <f t="shared" si="9"/>
        <v>"displayName": "Other Financing - net"},</v>
      </c>
      <c r="O45" s="1" t="str">
        <f t="shared" si="10"/>
        <v>"netOtherFinancing":{"source": "historical","field": "Other Financing - net","displayName": "Other Financing - net"},</v>
      </c>
    </row>
    <row r="46" spans="4:15" ht="20" customHeight="1">
      <c r="D46" s="1" t="s">
        <v>77</v>
      </c>
      <c r="E46" s="1" t="s">
        <v>19</v>
      </c>
      <c r="F46" s="1" t="s">
        <v>59</v>
      </c>
      <c r="H46" s="1" t="str">
        <f t="shared" si="11"/>
        <v>Effect of exchange rate on cash</v>
      </c>
      <c r="I46" s="1" t="str">
        <f t="shared" si="0"/>
        <v>"exchangeRateEffect":{</v>
      </c>
      <c r="J46" s="1" t="str">
        <f t="shared" si="6"/>
        <v>"source": "historical",</v>
      </c>
      <c r="K46" s="1" t="str">
        <f t="shared" si="7"/>
        <v>"field": "Effect of exchange rate on cash",</v>
      </c>
      <c r="L46" s="1" t="str">
        <f t="shared" si="8"/>
        <v/>
      </c>
      <c r="M46" s="1" t="str">
        <f t="shared" si="9"/>
        <v>"displayName": "Effect of exchange rate on cash"},</v>
      </c>
      <c r="O46" s="1" t="str">
        <f t="shared" si="10"/>
        <v>"exchangeRateEffect":{"source": "historical","field": "Effect of exchange rate on cash","displayName": "Effect of exchange rate on cash"},</v>
      </c>
    </row>
    <row r="47" spans="4:15" ht="20" customHeight="1">
      <c r="D47" s="1" t="s">
        <v>78</v>
      </c>
      <c r="E47" s="1" t="s">
        <v>24</v>
      </c>
      <c r="G47" s="1" t="s">
        <v>86</v>
      </c>
      <c r="H47" s="1" t="s">
        <v>83</v>
      </c>
      <c r="I47" s="1" t="str">
        <f t="shared" si="0"/>
        <v>"cashFlowsOperating":{</v>
      </c>
      <c r="J47" s="1" t="str">
        <f t="shared" si="6"/>
        <v>"source": "calculated",</v>
      </c>
      <c r="L47" s="1" t="str">
        <f t="shared" si="8"/>
        <v>"formula": "netIncome + dda + assetSaleGains + equityInSubsidiary + cashMinorityInterest + deferredIncomeTaxes + workingCapitalInvestment + netOtherOperating + decreaseInAcctsReceivable + decreaseInOtherPrepaids + decreaseInAcctsPayable + otherAccruedLiabilities",</v>
      </c>
      <c r="M47" s="1" t="str">
        <f t="shared" si="9"/>
        <v>"displayName": "Cash Flows from Operating Activities"},</v>
      </c>
      <c r="O47" s="1" t="str">
        <f t="shared" si="10"/>
        <v>"cashFlowsOperating":{"source": "calculated","formula": "netIncome + dda + assetSaleGains + equityInSubsidiary + cashMinorityInterest + deferredIncomeTaxes + workingCapitalInvestment + netOtherOperating + decreaseInAcctsReceivable + decreaseInOtherPrepaids + decreaseInAcctsPayable + otherAccruedLiabilities","displayName": "Cash Flows from Operating Activities"},</v>
      </c>
    </row>
    <row r="48" spans="4:15" ht="20" customHeight="1">
      <c r="D48" s="1" t="s">
        <v>79</v>
      </c>
      <c r="E48" s="1" t="s">
        <v>24</v>
      </c>
      <c r="G48" s="1" t="s">
        <v>85</v>
      </c>
      <c r="H48" s="1" t="s">
        <v>84</v>
      </c>
      <c r="I48" s="1" t="str">
        <f t="shared" si="0"/>
        <v>"cashFlowsInvesting":{</v>
      </c>
      <c r="J48" s="1" t="str">
        <f t="shared" si="6"/>
        <v>"source": "calculated",</v>
      </c>
      <c r="L48" s="1" t="str">
        <f t="shared" si="8"/>
        <v>"formula": "capEx + proceedsFromAssetSales + expendituresForDrydock + netOtherInvesting",</v>
      </c>
      <c r="M48" s="1" t="str">
        <f t="shared" si="9"/>
        <v>"displayName": "Cash Flows from Investing Activities"},</v>
      </c>
      <c r="O48" s="1" t="str">
        <f t="shared" si="10"/>
        <v>"cashFlowsInvesting":{"source": "calculated","formula": "capEx + proceedsFromAssetSales + expendituresForDrydock + netOtherInvesting","displayName": "Cash Flows from Investing Activities"},</v>
      </c>
    </row>
    <row r="49" spans="4:15" ht="20" customHeight="1">
      <c r="D49" s="1" t="s">
        <v>80</v>
      </c>
      <c r="E49" s="1" t="s">
        <v>24</v>
      </c>
      <c r="G49" s="1" t="s">
        <v>81</v>
      </c>
      <c r="H49" s="1" t="s">
        <v>82</v>
      </c>
      <c r="I49" s="1" t="str">
        <f t="shared" si="0"/>
        <v>"cashFlowsFinancing":{</v>
      </c>
      <c r="J49" s="1" t="str">
        <f t="shared" si="6"/>
        <v>"source": "calculated",</v>
      </c>
      <c r="L49" s="1" t="str">
        <f t="shared" si="8"/>
        <v>"formula": "debtBorrowing + equityIssuance + netOtherFinancing",</v>
      </c>
      <c r="M49" s="1" t="str">
        <f t="shared" si="9"/>
        <v>"displayName": "Cash Flows from Financing Activities"},</v>
      </c>
      <c r="O49" s="1" t="str">
        <f t="shared" si="10"/>
        <v>"cashFlowsFinancing":{"source": "calculated","formula": "debtBorrowing + equityIssuance + netOtherFinancing","displayName": "Cash Flows from Financing Activities"},</v>
      </c>
    </row>
    <row r="50" spans="4:15" ht="20" customHeight="1">
      <c r="D50" s="1" t="s">
        <v>87</v>
      </c>
      <c r="E50" s="1" t="s">
        <v>24</v>
      </c>
      <c r="G50" s="1" t="s">
        <v>88</v>
      </c>
      <c r="H50" s="1" t="s">
        <v>89</v>
      </c>
      <c r="I50" s="1" t="str">
        <f t="shared" ref="I50:I51" si="12">""""&amp;D50&amp;""":{"</f>
        <v>"netChangeInCash":{</v>
      </c>
      <c r="J50" s="1" t="str">
        <f t="shared" ref="J50:J51" si="13">""""&amp;E$22&amp;""": """&amp;E50&amp;""","</f>
        <v>"source": "calculated",</v>
      </c>
      <c r="L50" s="1" t="str">
        <f t="shared" ref="L50:L51" si="14">IF($E50="calculated",""""&amp;G$22&amp;""": """&amp;G50&amp;""",","")</f>
        <v>"formula": "cashFlowsOperating + cashFlowsInvesting + cashFlowsFinancing + exchangeRateEffect",</v>
      </c>
      <c r="M50" s="1" t="str">
        <f t="shared" ref="M50:M51" si="15">""""&amp;H$22&amp;""": """&amp;H50&amp;"""},"</f>
        <v>"displayName": "Net Increase (Decrease) in Cash &amp; Equivalents"},</v>
      </c>
      <c r="O50" s="1" t="str">
        <f t="shared" ref="O50:O51" si="16">I50&amp;J50&amp;K50&amp;L50&amp;M50</f>
        <v>"netChangeInCash":{"source": "calculated","formula": "cashFlowsOperating + cashFlowsInvesting + cashFlowsFinancing + exchangeRateEffect","displayName": "Net Increase (Decrease) in Cash &amp; Equivalents"},</v>
      </c>
    </row>
    <row r="51" spans="4:15" ht="20" customHeight="1">
      <c r="D51" s="1" t="s">
        <v>91</v>
      </c>
      <c r="E51" s="1" t="s">
        <v>24</v>
      </c>
      <c r="G51" s="1" t="s">
        <v>92</v>
      </c>
      <c r="H51" s="1" t="s">
        <v>90</v>
      </c>
      <c r="I51" s="1" t="str">
        <f t="shared" si="12"/>
        <v>"changeInWorkingCapital":{</v>
      </c>
      <c r="J51" s="1" t="str">
        <f t="shared" si="13"/>
        <v>"source": "calculated",</v>
      </c>
      <c r="L51" s="1" t="str">
        <f t="shared" si="14"/>
        <v>"formula": "decreaseInAcctsReceivable + decreaseInOtherPrepaids + decreaseInAcctsPayable + otherAccruedLiabilities",</v>
      </c>
      <c r="M51" s="1" t="str">
        <f t="shared" si="15"/>
        <v>"displayName": "Change in Working Capital (exc. Cash)"},</v>
      </c>
      <c r="O51" s="1" t="str">
        <f t="shared" si="16"/>
        <v>"changeInWorkingCapital":{"source": "calculated","formula": "decreaseInAcctsReceivable + decreaseInOtherPrepaids + decreaseInAcctsPayable + otherAccruedLiabilities","displayName": "Change in Working Capital (exc. Cash)"},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676A-B7A5-5B44-9466-2DCF3E20EEF3}">
  <dimension ref="A1:B1"/>
  <sheetViews>
    <sheetView workbookViewId="0"/>
  </sheetViews>
  <sheetFormatPr baseColWidth="10" defaultColWidth="14.28515625" defaultRowHeight="20" customHeight="1"/>
  <cols>
    <col min="1" max="2" width="2.85546875" style="2" customWidth="1"/>
    <col min="3" max="16384" width="14.28515625" style="1"/>
  </cols>
  <sheetData>
    <row r="1" s="3" customFormat="1" ht="40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8AA7-CF39-4C43-94D2-17052A9940A3}">
  <dimension ref="A1:B1"/>
  <sheetViews>
    <sheetView workbookViewId="0"/>
  </sheetViews>
  <sheetFormatPr baseColWidth="10" defaultColWidth="14.28515625" defaultRowHeight="20" customHeight="1"/>
  <cols>
    <col min="1" max="2" width="2.85546875" style="2" customWidth="1"/>
    <col min="3" max="16384" width="14.28515625" style="1"/>
  </cols>
  <sheetData>
    <row r="1" s="3" customFormat="1" ht="40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898E-6DF5-D047-B796-6427AE4D86C7}">
  <dimension ref="A1:B1"/>
  <sheetViews>
    <sheetView workbookViewId="0"/>
  </sheetViews>
  <sheetFormatPr baseColWidth="10" defaultColWidth="14.28515625" defaultRowHeight="20" customHeight="1"/>
  <cols>
    <col min="1" max="2" width="2.85546875" style="2" customWidth="1"/>
    <col min="3" max="16384" width="14.28515625" style="1"/>
  </cols>
  <sheetData>
    <row r="1" s="3" customFormat="1" ht="40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7575-D11B-094B-A9A2-86A823971E4C}">
  <dimension ref="A1:B1"/>
  <sheetViews>
    <sheetView workbookViewId="0"/>
  </sheetViews>
  <sheetFormatPr baseColWidth="10" defaultColWidth="14.28515625" defaultRowHeight="20" customHeight="1"/>
  <cols>
    <col min="1" max="2" width="2.85546875" style="2" customWidth="1"/>
    <col min="3" max="16384" width="14.28515625" style="1"/>
  </cols>
  <sheetData>
    <row r="1" s="3" customFormat="1" ht="40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332A-06E4-1143-9972-FEE2DE98A6D5}">
  <dimension ref="A1:B1"/>
  <sheetViews>
    <sheetView workbookViewId="0"/>
  </sheetViews>
  <sheetFormatPr baseColWidth="10" defaultColWidth="14.28515625" defaultRowHeight="20" customHeight="1"/>
  <cols>
    <col min="1" max="2" width="2.85546875" style="2" customWidth="1"/>
    <col min="3" max="16384" width="14.28515625" style="1"/>
  </cols>
  <sheetData>
    <row r="1" s="3" customFormat="1" ht="40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AF19-1210-0B4B-817A-5EA0AA253F4C}">
  <dimension ref="A1:B1"/>
  <sheetViews>
    <sheetView workbookViewId="0"/>
  </sheetViews>
  <sheetFormatPr baseColWidth="10" defaultColWidth="14.28515625" defaultRowHeight="20" customHeight="1"/>
  <cols>
    <col min="1" max="2" width="2.85546875" style="2" customWidth="1"/>
    <col min="3" max="16384" width="14.28515625" style="1"/>
  </cols>
  <sheetData>
    <row r="1" s="3" customFormat="1" ht="40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8504-2A17-6844-B681-1A45D49D7CA4}">
  <dimension ref="A1:B1"/>
  <sheetViews>
    <sheetView workbookViewId="0"/>
  </sheetViews>
  <sheetFormatPr baseColWidth="10" defaultColWidth="14.28515625" defaultRowHeight="20" customHeight="1"/>
  <cols>
    <col min="1" max="2" width="2.85546875" style="2" customWidth="1"/>
    <col min="3" max="16384" width="14.28515625" style="1"/>
  </cols>
  <sheetData>
    <row r="1" s="3" customFormat="1" ht="40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Definitions</vt:lpstr>
      <vt:lpstr>Sheet1</vt:lpstr>
      <vt:lpstr>Sheet 2</vt:lpstr>
      <vt:lpstr>Sheet 3</vt:lpstr>
      <vt:lpstr>Sheet 4</vt:lpstr>
      <vt:lpstr>Sheet 5</vt:lpstr>
      <vt:lpstr>Sheet 6</vt:lpstr>
      <vt:lpstr>Sheet 7</vt:lpstr>
      <vt:lpstr>Sheet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Purnell</dc:creator>
  <cp:lastModifiedBy>Justin Purnell</cp:lastModifiedBy>
  <dcterms:created xsi:type="dcterms:W3CDTF">2020-01-22T16:07:56Z</dcterms:created>
  <dcterms:modified xsi:type="dcterms:W3CDTF">2025-11-18T21:15:34Z</dcterms:modified>
</cp:coreProperties>
</file>